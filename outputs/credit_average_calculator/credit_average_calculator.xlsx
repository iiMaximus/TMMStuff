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d98ac0fbb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2e77df386d21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+0.00;-0.00;0.00"/>
  </x:numFmts>
  <x:fonts count="11">
    <x:font>
      <x:sz val="11"/>
      <x:name val="Carlito"/>
    </x:font>
    <x:font>
      <x:sz val="11"/>
      <x:color rgb="FF172033"/>
      <x:name val="Aptos"/>
    </x:font>
    <x:font>
      <x:b/>
      <x:sz val="16"/>
      <x:color rgb="FFFFFFFF"/>
      <x:name val="Aptos"/>
    </x:font>
    <x:font>
      <x:i/>
      <x:sz val="10"/>
      <x:color rgb="FF064E3B"/>
      <x:name val="Aptos"/>
    </x:font>
    <x:font>
      <x:b/>
      <x:sz val="11"/>
      <x:color rgb="FF334155"/>
      <x:name val="Aptos"/>
    </x:font>
    <x:font>
      <x:b/>
      <x:sz val="12"/>
      <x:color rgb="FFFFFFFF"/>
      <x:name val="Aptos"/>
    </x:font>
    <x:font>
      <x:b/>
      <x:sz val="11"/>
      <x:color rgb="FF134E4A"/>
      <x:name val="Aptos"/>
    </x:font>
    <x:font>
      <x:b/>
      <x:sz val="14"/>
      <x:color rgb="FF14532D"/>
      <x:name val="Aptos"/>
    </x:font>
    <x:font>
      <x:b/>
      <x:sz val="11"/>
      <x:color rgb="FF713F12"/>
      <x:name val="Aptos"/>
    </x:font>
    <x:font>
      <x:b/>
      <x:sz val="11"/>
      <x:color rgb="FFFFFFFF"/>
      <x:name val="Aptos"/>
    </x:font>
    <x:font>
      <x:i/>
      <x:sz val="10"/>
      <x:color rgb="FF475569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64E63"/>
      </x:patternFill>
    </x:fill>
    <x:fill>
      <x:patternFill patternType="solid">
        <x:fgColor rgb="FFF0FDFA"/>
      </x:patternFill>
    </x:fill>
    <x:fill>
      <x:patternFill patternType="solid">
        <x:fgColor rgb="FFDCFCE7"/>
      </x:patternFill>
    </x:fill>
    <x:fill>
      <x:patternFill patternType="solid">
        <x:fgColor rgb="FFFEF9C3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</x:fills>
  <x:borders count="16">
    <x:border/>
    <x:border>
      <x:left style="thin">
        <x:color rgb="FF99F6E4"/>
      </x:left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</x:border>
    <x:border>
      <x:right style="thin">
        <x:color rgb="FF99F6E4"/>
      </x:right>
    </x:border>
    <x:border>
      <x:left style="thin">
        <x:color rgb="FF99F6E4"/>
      </x:left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1" fillId="9" borderId="4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10" borderId="8" xfId="0" applyNumberFormat="1" applyFont="1" applyFill="1" applyBorder="1" applyAlignment="1">
      <x:alignment vertical="center" wrapText="1"/>
    </x:xf>
    <x:xf numFmtId="0" fontId="1" fillId="10" borderId="11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5" borderId="4" xfId="0" applyNumberFormat="1" applyFont="1" applyFill="1" applyBorder="1" applyAlignment="1">
      <x:alignment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201" fontId="1" fillId="5" borderId="6" xfId="0" applyNumberFormat="1" applyFont="1" applyFill="1" applyBorder="1" applyAlignment="1">
      <x:alignment vertical="center" wrapText="1"/>
    </x:xf>
    <x:xf numFmtId="201" fontId="1" fillId="5" borderId="8" xfId="0" applyNumberFormat="1" applyFont="1" applyFill="1" applyBorder="1" applyAlignment="1">
      <x:alignment vertical="center" wrapText="1"/>
    </x:xf>
    <x:xf numFmtId="201" fontId="1" fillId="5" borderId="11" xfId="0" applyNumberFormat="1" applyFont="1" applyFill="1" applyBorder="1" applyAlignment="1">
      <x:alignment vertical="center" wrapText="1"/>
    </x:xf>
    <x:xf numFmtId="201" fontId="1" fillId="5" borderId="14" xfId="0" applyNumberFormat="1" applyFont="1" applyFill="1" applyBorder="1" applyAlignment="1">
      <x:alignment vertical="center" wrapText="1"/>
    </x:xf>
    <x:xf numFmtId="201" fontId="1" fillId="10" borderId="8" xfId="0" applyNumberFormat="1" applyFont="1" applyFill="1" applyBorder="1" applyAlignment="1">
      <x:alignment vertical="center" wrapText="1"/>
    </x:xf>
    <x:xf numFmtId="201" fontId="1" fillId="10" borderId="11" xfId="0" applyNumberFormat="1" applyFont="1" applyFill="1" applyBorder="1" applyAlignment="1">
      <x:alignment vertical="center" wrapText="1"/>
    </x:xf>
    <x:xf numFmtId="201" fontId="1" fillId="10" borderId="14" xfId="0" applyNumberFormat="1" applyFont="1" applyFill="1" applyBorder="1" applyAlignment="1">
      <x:alignment vertical="center" wrapText="1"/>
    </x:xf>
    <x:xf numFmtId="200" fontId="1" fillId="4" borderId="8" xfId="0" applyNumberFormat="1" applyFont="1" applyFill="1" applyBorder="1" applyAlignment="1">
      <x:alignment vertical="center" wrapText="1"/>
    </x:xf>
    <x:xf numFmtId="200" fontId="1" fillId="4" borderId="11" xfId="0" applyNumberFormat="1" applyFont="1" applyFill="1" applyBorder="1" applyAlignment="1">
      <x:alignment vertical="center" wrapText="1"/>
    </x:xf>
    <x:xf numFmtId="200" fontId="1" fillId="4" borderId="14" xfId="0" applyNumberFormat="1" applyFont="1" applyFill="1" applyBorder="1" applyAlignment="1">
      <x:alignment vertical="center" wrapText="1"/>
    </x:xf>
    <x:xf numFmtId="200" fontId="1" fillId="4" borderId="9" xfId="0" applyNumberFormat="1" applyFont="1" applyFill="1" applyBorder="1" applyAlignment="1">
      <x:alignment vertical="center" wrapText="1"/>
    </x:xf>
    <x:xf numFmtId="200" fontId="1" fillId="4" borderId="12" xfId="0" applyNumberFormat="1" applyFont="1" applyFill="1" applyBorder="1" applyAlignment="1">
      <x:alignment vertical="center" wrapText="1"/>
    </x:xf>
    <x:xf numFmtId="200" fontId="1" fillId="4" borderId="15" xfId="0" applyNumberFormat="1" applyFont="1" applyFill="1" applyBorder="1" applyAlignment="1">
      <x:alignment vertical="center" wrapText="1"/>
    </x:xf>
    <x:xf numFmtId="200" fontId="7" fillId="8" borderId="4" xfId="0" applyNumberFormat="1" applyFont="1" applyFill="1" applyBorder="1" applyAlignment="1">
      <x:alignment vertical="center" wrapText="1"/>
    </x:xf>
    <x:xf numFmtId="202" fontId="8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cea69c19b4851" /><Relationship Type="http://schemas.openxmlformats.org/officeDocument/2006/relationships/theme" Target="/xl/theme/theme1.xml" Id="Rf76a6010ff4241b1" /><Relationship Type="http://schemas.openxmlformats.org/officeDocument/2006/relationships/sharedStrings" Target="/xl/sharedStrings.xml" Id="R7c30de9fcadc47f2" /><Relationship Type="http://schemas.openxmlformats.org/officeDocument/2006/relationships/worksheet" Target="/xl/worksheets/sheet1.xml" Id="R2e77df386d2149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</x:cols>
  <x:sheetData>
    <x:row r="1" ht="32" customHeight="1">
      <x:c r="A1" s="5" t="str">
        <x:v>Credit Average Calculator</x:v>
      </x:c>
      <x:c r="B1" s="5"/>
      <x:c r="C1" s="5"/>
      <x:c r="D1" s="5"/>
      <x:c r="E1" s="5"/>
      <x:c r="F1" s="5"/>
    </x:row>
    <x:row r="2" ht="34" customHeight="1">
      <x:c r="A2" s="7" t="str">
        <x:v>Enter grades in column C. Blank grade cells are ignored, so the projected average updates only for completed exams.</x:v>
      </x:c>
      <x:c r="B2" s="7"/>
      <x:c r="C2" s="7"/>
      <x:c r="D2" s="7"/>
      <x:c r="E2" s="7"/>
      <x:c r="F2" s="7"/>
    </x:row>
    <x:row r="3">
      <x:c r="A3" s="3"/>
      <x:c r="B3" s="3"/>
      <x:c r="C3" s="3"/>
      <x:c r="D3" s="3"/>
      <x:c r="E3" s="3"/>
      <x:c r="F3" s="3"/>
    </x:row>
    <x:row r="4">
      <x:c r="A4" s="20" t="str">
        <x:v>Current average (/30)</x:v>
      </x:c>
      <x:c r="B4" s="66" t="n">
        <x:v>21.58</x:v>
      </x:c>
      <x:c r="C4" s="3"/>
      <x:c r="D4" s="28" t="str">
        <x:v>Projected result</x:v>
      </x:c>
      <x:c r="E4" s="29"/>
      <x:c r="F4" s="3"/>
    </x:row>
    <x:row r="5">
      <x:c r="A5" s="21" t="str">
        <x:v>Current completed credits</x:v>
      </x:c>
      <x:c r="B5" s="67" t="n">
        <x:v>50</x:v>
      </x:c>
      <x:c r="C5" s="3"/>
      <x:c r="D5" s="32" t="str">
        <x:v>Projected average (/30)</x:v>
      </x:c>
      <x:c r="E5" s="82" t="n">
        <x:f>IF($B$8=0,$B$4,($B$6+$B$9)/$B$10)</x:f>
        <x:v>21.58</x:v>
      </x:c>
      <x:c r="F5" s="3"/>
    </x:row>
    <x:row r="6">
      <x:c r="A6" s="21" t="str">
        <x:v>Current weighted points</x:v>
      </x:c>
      <x:c r="B6" s="68" t="n">
        <x:f>B4*B5</x:f>
        <x:v>1079</x:v>
      </x:c>
      <x:c r="C6" s="3"/>
      <x:c r="D6" s="32" t="str">
        <x:v>Change from current</x:v>
      </x:c>
      <x:c r="E6" s="83" t="n">
        <x:f>E5-$B$4</x:f>
        <x:v>0</x:v>
      </x:c>
      <x:c r="F6" s="3"/>
    </x:row>
    <x:row r="7">
      <x:c r="A7" s="21"/>
      <x:c r="B7" s="24"/>
      <x:c r="C7" s="3"/>
      <x:c r="D7" s="32" t="str">
        <x:v>Completed future exams</x:v>
      </x:c>
      <x:c r="E7" s="67" t="n">
        <x:f>COUNT($C$12:$C$19)</x:f>
        <x:v>0</x:v>
      </x:c>
      <x:c r="F7" s="3"/>
    </x:row>
    <x:row r="8">
      <x:c r="A8" s="21" t="str">
        <x:v>Entered future credits</x:v>
      </x:c>
      <x:c r="B8" s="67" t="n">
        <x:f>SUM($E$12:$E$19)</x:f>
        <x:v>0</x:v>
      </x:c>
      <x:c r="C8" s="3"/>
      <x:c r="D8" s="32" t="str">
        <x:v>Remaining planned credits</x:v>
      </x:c>
      <x:c r="E8" s="67" t="n">
        <x:f>SUM($B$12:$B$19)-$B$8</x:f>
        <x:v>64</x:v>
      </x:c>
      <x:c r="F8" s="3"/>
    </x:row>
    <x:row r="9">
      <x:c r="A9" s="21" t="str">
        <x:v>Future weighted points</x:v>
      </x:c>
      <x:c r="B9" s="68" t="n">
        <x:f>SUM($D$12:$D$19)</x:f>
        <x:v>0</x:v>
      </x:c>
      <x:c r="C9" s="3"/>
      <x:c r="D9" s="33" t="str">
        <x:v>Planned future credits</x:v>
      </x:c>
      <x:c r="E9" s="69" t="n">
        <x:f>SUM($B$12:$B$19)</x:f>
        <x:v>64</x:v>
      </x:c>
      <x:c r="F9" s="3"/>
    </x:row>
    <x:row r="10">
      <x:c r="A10" s="22" t="str">
        <x:v>Total credits included</x:v>
      </x:c>
      <x:c r="B10" s="69" t="n">
        <x:f>B5+B8</x:f>
        <x:v>50</x:v>
      </x:c>
      <x:c r="C10" s="3"/>
      <x:c r="D10" s="3"/>
      <x:c r="E10" s="3"/>
      <x:c r="F10" s="3"/>
    </x:row>
    <x:row r="11">
      <x:c r="A11" s="39" t="str">
        <x:v>Subject</x:v>
      </x:c>
      <x:c r="B11" s="39" t="str">
        <x:v>Credits</x:v>
      </x:c>
      <x:c r="C11" s="39" t="str">
        <x:v>Grade input (/30)</x:v>
      </x:c>
      <x:c r="D11" s="39" t="str">
        <x:v>Weighted points</x:v>
      </x:c>
      <x:c r="E11" s="39" t="str">
        <x:v>Included credits</x:v>
      </x:c>
      <x:c r="F11" s="39" t="str">
        <x:v>Running avg</x:v>
      </x:c>
    </x:row>
    <x:row r="12">
      <x:c r="A12" s="49" t="str">
        <x:v>SDM</x:v>
      </x:c>
      <x:c r="B12" s="70" t="n">
        <x:v>10</x:v>
      </x:c>
      <x:c r="C12" s="73"/>
      <x:c r="D12" s="76" t="str">
        <x:f>IF(ISNUMBER(C12),B12*C12,"")</x:f>
      </x:c>
      <x:c r="E12" s="58" t="n">
        <x:f>IF(ISNUMBER(C12),B12,0)</x:f>
        <x:v>0</x:v>
      </x:c>
      <x:c r="F12" s="79" t="str">
        <x:f>IF(ISNUMBER(C12),($B$6+SUM($D$12:D12))/($B$5+SUM($E$12:E12)),"")</x:f>
      </x:c>
    </x:row>
    <x:row r="13">
      <x:c r="A13" s="51" t="str">
        <x:v>Statistics</x:v>
      </x:c>
      <x:c r="B13" s="71" t="n">
        <x:v>6</x:v>
      </x:c>
      <x:c r="C13" s="74"/>
      <x:c r="D13" s="77" t="str">
        <x:f>IF(ISNUMBER(C13),B13*C13,"")</x:f>
      </x:c>
      <x:c r="E13" s="60" t="n">
        <x:f>IF(ISNUMBER(C13),B13,0)</x:f>
        <x:v>0</x:v>
      </x:c>
      <x:c r="F13" s="80" t="str">
        <x:f>IF(ISNUMBER(C13),($B$6+SUM($D$12:D13))/($B$5+SUM($E$12:E13)),"")</x:f>
      </x:c>
    </x:row>
    <x:row r="14">
      <x:c r="A14" s="51" t="str">
        <x:v>Cybersecurity</x:v>
      </x:c>
      <x:c r="B14" s="71" t="n">
        <x:v>6</x:v>
      </x:c>
      <x:c r="C14" s="74"/>
      <x:c r="D14" s="77" t="str">
        <x:f>IF(ISNUMBER(C14),B14*C14,"")</x:f>
      </x:c>
      <x:c r="E14" s="60" t="n">
        <x:f>IF(ISNUMBER(C14),B14,0)</x:f>
        <x:v>0</x:v>
      </x:c>
      <x:c r="F14" s="80" t="str">
        <x:f>IF(ISNUMBER(C14),($B$6+SUM($D$12:D14))/($B$5+SUM($E$12:E14)),"")</x:f>
      </x:c>
    </x:row>
    <x:row r="15">
      <x:c r="A15" s="51" t="str">
        <x:v>Algebra</x:v>
      </x:c>
      <x:c r="B15" s="71" t="n">
        <x:v>10</x:v>
      </x:c>
      <x:c r="C15" s="74"/>
      <x:c r="D15" s="77" t="str">
        <x:f>IF(ISNUMBER(C15),B15*C15,"")</x:f>
      </x:c>
      <x:c r="E15" s="60" t="n">
        <x:f>IF(ISNUMBER(C15),B15,0)</x:f>
        <x:v>0</x:v>
      </x:c>
      <x:c r="F15" s="80" t="str">
        <x:f>IF(ISNUMBER(C15),($B$6+SUM($D$12:D15))/($B$5+SUM($E$12:E15)),"")</x:f>
      </x:c>
    </x:row>
    <x:row r="16">
      <x:c r="A16" s="51" t="str">
        <x:v>Thermodynamics</x:v>
      </x:c>
      <x:c r="B16" s="71" t="n">
        <x:v>8</x:v>
      </x:c>
      <x:c r="C16" s="74"/>
      <x:c r="D16" s="77" t="str">
        <x:f>IF(ISNUMBER(C16),B16*C16,"")</x:f>
      </x:c>
      <x:c r="E16" s="60" t="n">
        <x:f>IF(ISNUMBER(C16),B16,0)</x:f>
        <x:v>0</x:v>
      </x:c>
      <x:c r="F16" s="80" t="str">
        <x:f>IF(ISNUMBER(C16),($B$6+SUM($D$12:D16))/($B$5+SUM($E$12:E16)),"")</x:f>
      </x:c>
    </x:row>
    <x:row r="17">
      <x:c r="A17" s="51" t="str">
        <x:v>Mechanics</x:v>
      </x:c>
      <x:c r="B17" s="71" t="n">
        <x:v>10</x:v>
      </x:c>
      <x:c r="C17" s="74"/>
      <x:c r="D17" s="77" t="str">
        <x:f>IF(ISNUMBER(C17),B17*C17,"")</x:f>
      </x:c>
      <x:c r="E17" s="60" t="n">
        <x:f>IF(ISNUMBER(C17),B17,0)</x:f>
        <x:v>0</x:v>
      </x:c>
      <x:c r="F17" s="80" t="str">
        <x:f>IF(ISNUMBER(C17),($B$6+SUM($D$12:D17))/($B$5+SUM($E$12:E17)),"")</x:f>
      </x:c>
    </x:row>
    <x:row r="18">
      <x:c r="A18" s="51" t="str">
        <x:v>FSM</x:v>
      </x:c>
      <x:c r="B18" s="71" t="n">
        <x:v>8</x:v>
      </x:c>
      <x:c r="C18" s="74"/>
      <x:c r="D18" s="77" t="str">
        <x:f>IF(ISNUMBER(C18),B18*C18,"")</x:f>
      </x:c>
      <x:c r="E18" s="60" t="n">
        <x:f>IF(ISNUMBER(C18),B18,0)</x:f>
        <x:v>0</x:v>
      </x:c>
      <x:c r="F18" s="80" t="str">
        <x:f>IF(ISNUMBER(C18),($B$6+SUM($D$12:D18))/($B$5+SUM($E$12:E18)),"")</x:f>
      </x:c>
    </x:row>
    <x:row r="19">
      <x:c r="A19" s="53" t="str">
        <x:v>Mathematics 2</x:v>
      </x:c>
      <x:c r="B19" s="72" t="n">
        <x:v>6</x:v>
      </x:c>
      <x:c r="C19" s="75"/>
      <x:c r="D19" s="78" t="str">
        <x:f>IF(ISNUMBER(C19),B19*C19,"")</x:f>
      </x:c>
      <x:c r="E19" s="62" t="n">
        <x:f>IF(ISNUMBER(C19),B19,0)</x:f>
        <x:v>0</x:v>
      </x:c>
      <x:c r="F19" s="81" t="str">
        <x:f>IF(ISNUMBER(C19),($B$6+SUM($D$12:D19))/($B$5+SUM($E$12:E19)),"")</x:f>
      </x:c>
    </x:row>
    <x:row r="20">
      <x:c r="A20" s="3"/>
      <x:c r="B20" s="3"/>
      <x:c r="C20" s="3"/>
      <x:c r="D20" s="3"/>
      <x:c r="E20" s="3"/>
      <x:c r="F20" s="3"/>
    </x:row>
    <x:row r="21">
      <x:c r="A21" s="65" t="str">
        <x:v>Tip: leave a grade blank for an exam you have not completed yet. The main projected average includes every entered grade, even if earlier rows are blank.</x:v>
      </x:c>
      <x:c r="B21" s="65"/>
      <x:c r="C21" s="65"/>
      <x:c r="D21" s="65"/>
      <x:c r="E21" s="65"/>
      <x:c r="F21" s="65"/>
    </x:row>
  </x:sheetData>
  <x:mergeCells>
    <x:mergeCell ref="A1:F1"/>
    <x:mergeCell ref="A2:F2"/>
    <x:mergeCell ref="D4:E4"/>
    <x:mergeCell ref="A21:F21"/>
  </x:mergeCells>
  <x:dataValidations count="1">
    <x:dataValidation type="whole" operator="between" sqref="C12:C19">
      <x:formula1>0</x:formula1>
      <x:formula2>30</x:formula2>
    </x:dataValidation>
  </x:dataValidations>
  <x:pageMargins left="0.7" right="0.7" top="0.75" bottom="0.75" header="0.3" footer="0.3"/>
</x:worksheet>
</file>